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hogi\Downloads\"/>
    </mc:Choice>
  </mc:AlternateContent>
  <xr:revisionPtr revIDLastSave="0" documentId="13_ncr:1_{8C160A9D-4B1F-48AD-992B-DBB7BCF035CB}" xr6:coauthVersionLast="47" xr6:coauthVersionMax="47" xr10:uidLastSave="{00000000-0000-0000-0000-000000000000}"/>
  <bookViews>
    <workbookView xWindow="-110" yWindow="-110" windowWidth="23260" windowHeight="14860" tabRatio="500" activeTab="3" xr2:uid="{00000000-000D-0000-FFFF-FFFF00000000}"/>
  </bookViews>
  <sheets>
    <sheet name="KPI Data" sheetId="1" r:id="rId1"/>
    <sheet name="Completeness" sheetId="2" r:id="rId2"/>
    <sheet name="Intensity Ratios" sheetId="3" r:id="rId3"/>
    <sheet name="GRI Coverage" sheetId="5"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6" i="5" l="1"/>
  <c r="E16" i="5" s="1"/>
  <c r="F16" i="5" s="1"/>
  <c r="D15" i="5"/>
  <c r="E15" i="5" s="1"/>
  <c r="F15" i="5" s="1"/>
  <c r="D14" i="5"/>
  <c r="E14" i="5" s="1"/>
  <c r="F14" i="5" s="1"/>
  <c r="D13" i="5"/>
  <c r="E13" i="5" s="1"/>
  <c r="F13" i="5" s="1"/>
  <c r="D12" i="5"/>
  <c r="C35" i="3"/>
  <c r="E27" i="3"/>
  <c r="D27" i="3"/>
  <c r="C34" i="3" s="1"/>
  <c r="E26" i="3"/>
  <c r="D26" i="3"/>
  <c r="C33" i="3" s="1"/>
  <c r="E25" i="3"/>
  <c r="D25" i="3"/>
  <c r="C13" i="3"/>
  <c r="E35" i="3" s="1"/>
  <c r="B13" i="3"/>
  <c r="C12" i="3"/>
  <c r="B12" i="3"/>
  <c r="C11" i="3"/>
  <c r="B11" i="3"/>
  <c r="C10" i="3"/>
  <c r="B10" i="3"/>
  <c r="D20" i="2"/>
  <c r="E18" i="2"/>
  <c r="D18" i="2"/>
  <c r="C18" i="2"/>
  <c r="B18" i="2"/>
  <c r="A18" i="2"/>
  <c r="E17" i="2"/>
  <c r="D17" i="2"/>
  <c r="C17" i="2"/>
  <c r="B17" i="2"/>
  <c r="A17" i="2"/>
  <c r="E16" i="2"/>
  <c r="D16" i="2"/>
  <c r="C16" i="2"/>
  <c r="B16" i="2"/>
  <c r="A16" i="2"/>
  <c r="E15" i="2"/>
  <c r="D15" i="2"/>
  <c r="C15" i="2"/>
  <c r="B15" i="2"/>
  <c r="A15" i="2"/>
  <c r="E14" i="2"/>
  <c r="D14" i="2"/>
  <c r="C14" i="2"/>
  <c r="B14" i="2"/>
  <c r="A14" i="2"/>
  <c r="E13" i="2"/>
  <c r="D13" i="2"/>
  <c r="C13" i="2"/>
  <c r="B13" i="2"/>
  <c r="A13" i="2"/>
  <c r="E12" i="2"/>
  <c r="D12" i="2"/>
  <c r="C12" i="2"/>
  <c r="B12" i="2"/>
  <c r="A12" i="2"/>
  <c r="E11" i="2"/>
  <c r="D11" i="2"/>
  <c r="C11" i="2"/>
  <c r="B11" i="2"/>
  <c r="A11" i="2"/>
  <c r="E10" i="2"/>
  <c r="D10" i="2"/>
  <c r="D19" i="2" s="1"/>
  <c r="D21" i="2" s="1"/>
  <c r="C10" i="2"/>
  <c r="B10" i="2"/>
  <c r="A10" i="2"/>
  <c r="D84" i="5" l="1"/>
  <c r="E12" i="5"/>
  <c r="F12" i="5" s="1"/>
  <c r="C18" i="3"/>
  <c r="B35" i="3" s="1"/>
  <c r="D35" i="3" s="1"/>
  <c r="B18" i="3"/>
  <c r="E34" i="3"/>
  <c r="C17" i="3"/>
  <c r="B34" i="3" s="1"/>
  <c r="D34" i="3" s="1"/>
  <c r="B17" i="3"/>
  <c r="E33" i="3"/>
  <c r="C16" i="3"/>
  <c r="B33" i="3" s="1"/>
  <c r="D33" i="3" s="1"/>
  <c r="B16" i="3"/>
</calcChain>
</file>

<file path=xl/sharedStrings.xml><?xml version="1.0" encoding="utf-8"?>
<sst xmlns="http://schemas.openxmlformats.org/spreadsheetml/2006/main" count="353" uniqueCount="248">
  <si>
    <t>Task 1.2 - BRSR Essential Indicator Extraction: Wipro Limited FY 2024-25</t>
  </si>
  <si>
    <t>KPI</t>
  </si>
  <si>
    <t>NGRBC Principle / Section</t>
  </si>
  <si>
    <t>Value</t>
  </si>
  <si>
    <t>Unit</t>
  </si>
  <si>
    <t>Financial Year</t>
  </si>
  <si>
    <t>Page</t>
  </si>
  <si>
    <t>Revenue from operations (Turnover)</t>
  </si>
  <si>
    <t>Section VI - CSR Details</t>
  </si>
  <si>
    <t>INR Million</t>
  </si>
  <si>
    <t>FY 2024-25</t>
  </si>
  <si>
    <t>Total permanent employees</t>
  </si>
  <si>
    <t>Section IV, Q21a</t>
  </si>
  <si>
    <t>headcount</t>
  </si>
  <si>
    <t>Female employees in permanent workforce</t>
  </si>
  <si>
    <t>% of permanent</t>
  </si>
  <si>
    <t>Employee turnover rate (permanent, total)</t>
  </si>
  <si>
    <t>Section IV, Q23</t>
  </si>
  <si>
    <t>% (annual)</t>
  </si>
  <si>
    <t>LTIFR</t>
  </si>
  <si>
    <t>Principle 3, Essential Q11</t>
  </si>
  <si>
    <t>per million person-hours</t>
  </si>
  <si>
    <t>Scope 1 + Scope 2 GHG emissions</t>
  </si>
  <si>
    <t>Principle 6, Essential Q7</t>
  </si>
  <si>
    <t>tCO2e</t>
  </si>
  <si>
    <t>Water consumption (total)</t>
  </si>
  <si>
    <t>Principle 6, Essential Q3</t>
  </si>
  <si>
    <t>kilolitres</t>
  </si>
  <si>
    <t>Total energy consumed</t>
  </si>
  <si>
    <t>Principle 6, Essential Q1</t>
  </si>
  <si>
    <t>Megajoules</t>
  </si>
  <si>
    <t>POSH complaints filed (Sexual Harassment)</t>
  </si>
  <si>
    <t>Principle 5, Essential Q7</t>
  </si>
  <si>
    <t>count (annual)</t>
  </si>
  <si>
    <t>Task 1.3 - Completeness Score</t>
  </si>
  <si>
    <t>Scoring logic:</t>
  </si>
  <si>
    <t>A KPI counts as 'disclosed' (1) if the source BRSR reports a numeric value that answers the required indicator directly, on a stated page. It counts as 'not disclosed' (0) if the source is silent, or reports only a non-numeric 'Not Applicable' without an underlying value. This test - ISNUMBER on the KPI Data value cell - detects presence of a figure, not its correctness. It is a disclosure-completeness score, not a data-quality score, and every value it checks is a live cross-sheet reference to KPI Data, so the two sheets cannot drift out of sync.</t>
  </si>
  <si>
    <t>Value (linked)</t>
  </si>
  <si>
    <t>Disclosed (1/0)</t>
  </si>
  <si>
    <t>KPIs disclosed:</t>
  </si>
  <si>
    <t>Total target KPIs:</t>
  </si>
  <si>
    <t>Completeness score:</t>
  </si>
  <si>
    <t>Task 1.4 - Intensity Ratios</t>
  </si>
  <si>
    <t>Part A - Computed Intensity Ratios</t>
  </si>
  <si>
    <t>Item</t>
  </si>
  <si>
    <t>Formula</t>
  </si>
  <si>
    <t>Revenue (INR Crore)</t>
  </si>
  <si>
    <t>INR Crore</t>
  </si>
  <si>
    <t>Scope 1+2 GHG</t>
  </si>
  <si>
    <t>Water consumption</t>
  </si>
  <si>
    <t>kilolitres (= m3)</t>
  </si>
  <si>
    <t>Ratio</t>
  </si>
  <si>
    <t>GHG intensity (Scope 1+2)</t>
  </si>
  <si>
    <t>tCO2e per INR Crore turnover</t>
  </si>
  <si>
    <t>Water intensity</t>
  </si>
  <si>
    <t>m3 (KL) per INR Crore turnover</t>
  </si>
  <si>
    <t>Energy intensity</t>
  </si>
  <si>
    <t>MJ per INR Crore turnover</t>
  </si>
  <si>
    <t>Part B - Reconciliation against Wipro's own printed intensities</t>
  </si>
  <si>
    <t>Wipro prints its own per-rupee-of-turnover intensities for energy, GHG, and water (consolidated revenue basis). These are hardcoded here exactly as printed, each with its own page citation, then converted to per-INR-Crore terms so they are comparable to Part A.</t>
  </si>
  <si>
    <t>Metric</t>
  </si>
  <si>
    <t>Wipro's printed value (per Rupee)</t>
  </si>
  <si>
    <t>Converted to per INR Crore</t>
  </si>
  <si>
    <t>Energy (MJ/INR)</t>
  </si>
  <si>
    <t>GHG (kgCO2e/INR)</t>
  </si>
  <si>
    <t>Water (KL/INR)</t>
  </si>
  <si>
    <t>Note: Wipro's units differ per metric as printed (GHG in kg, others direct) — column D converts each to a tonnes/MJ/KL-per-crore basis matching Part A. Column E repeats the formula for transparency.</t>
  </si>
  <si>
    <t>Our computed (per Crore)</t>
  </si>
  <si>
    <t>Wipro's printed (per Crore)</t>
  </si>
  <si>
    <t>Ratio (ours / Wipro's)</t>
  </si>
  <si>
    <t>Implied revenue base from Wipro's ratio (INR Crore)</t>
  </si>
  <si>
    <t>GHG</t>
  </si>
  <si>
    <t>Water</t>
  </si>
  <si>
    <t>Energy</t>
  </si>
  <si>
    <t>Reading the reconciliation:</t>
  </si>
  <si>
    <t>All three ratios cluster near 1.3 (our intensities run about 30% higher than Wipro's own printed figures), and all three independently imply a revenue base of roughly INR 87,000-90,000 Crore rather than the INR 67,293 Crore Section VI turnover used in Part A. Three unrelated metrics converging on the same gap is evidence of one systematic cause (a standalone-vs-consolidated revenue basis difference, consistent with the boundary change Wipro itself discloses at Q13, page 480) rather than three separate errors.</t>
  </si>
  <si>
    <t>Section 2 - GRI Standards Coverage Mapping (Wipro Sustainability Report FY 2024-25)</t>
  </si>
  <si>
    <t>Task 2.1 finding:</t>
  </si>
  <si>
    <t>Coverage Summary (5 GRI Standards)</t>
  </si>
  <si>
    <t>GRI Standard</t>
  </si>
  <si>
    <t>Title</t>
  </si>
  <si>
    <t>Total disclosures defined</t>
  </si>
  <si>
    <t>Addressed by Wipro</t>
  </si>
  <si>
    <t>Coverage ratio</t>
  </si>
  <si>
    <t>Coverage Status</t>
  </si>
  <si>
    <t>Source page(s)</t>
  </si>
  <si>
    <t>GRI 2 (2021)</t>
  </si>
  <si>
    <t>General Disclosures</t>
  </si>
  <si>
    <t>146-147</t>
  </si>
  <si>
    <t>GRI 3 (2021)</t>
  </si>
  <si>
    <t>Material Topics</t>
  </si>
  <si>
    <t>147</t>
  </si>
  <si>
    <t>GRI 305 (2016)</t>
  </si>
  <si>
    <t>Emissions</t>
  </si>
  <si>
    <t>149-150</t>
  </si>
  <si>
    <t>GRI 303 (2018)</t>
  </si>
  <si>
    <t>Water and Effluents</t>
  </si>
  <si>
    <t>149</t>
  </si>
  <si>
    <t>GRI 403 (2018)</t>
  </si>
  <si>
    <t>Occupational Health and Safety</t>
  </si>
  <si>
    <t>150-151</t>
  </si>
  <si>
    <t>GRI 2: General Disclosures 2021 (30 disclosures)</t>
  </si>
  <si>
    <t>GRI 2-1</t>
  </si>
  <si>
    <t>Organizational details</t>
  </si>
  <si>
    <t>Yes</t>
  </si>
  <si>
    <t>10, 146</t>
  </si>
  <si>
    <t>GRI 2-2</t>
  </si>
  <si>
    <t>Entities included in sustainability reporting</t>
  </si>
  <si>
    <t>GRI 2-3</t>
  </si>
  <si>
    <t>Reporting period, frequency, and contact point</t>
  </si>
  <si>
    <t>GRI 2-4</t>
  </si>
  <si>
    <t>Restatements of information</t>
  </si>
  <si>
    <t>146</t>
  </si>
  <si>
    <t>GRI 2-5</t>
  </si>
  <si>
    <t>External assurance</t>
  </si>
  <si>
    <t>GRI 2-6</t>
  </si>
  <si>
    <t>Activities, value chain and other business relationships</t>
  </si>
  <si>
    <t>GRI 2-7</t>
  </si>
  <si>
    <t>Employees</t>
  </si>
  <si>
    <t>GRI 2-8</t>
  </si>
  <si>
    <t>Workers who are not employees</t>
  </si>
  <si>
    <t>GRI 2-9</t>
  </si>
  <si>
    <t>Governance structure and composition</t>
  </si>
  <si>
    <t>15, 146</t>
  </si>
  <si>
    <t>GRI 2-10</t>
  </si>
  <si>
    <t>Nomination and selection of highest governance body</t>
  </si>
  <si>
    <t>16, 146</t>
  </si>
  <si>
    <t>GRI 2-11</t>
  </si>
  <si>
    <t>Chair of the highest governance body</t>
  </si>
  <si>
    <t>GRI 2-12</t>
  </si>
  <si>
    <t>Role of highest governance body in overseeing management of impacts</t>
  </si>
  <si>
    <t>GRI 2-13</t>
  </si>
  <si>
    <t>Delegation of responsibility for managing impacts</t>
  </si>
  <si>
    <t>16-17, 146</t>
  </si>
  <si>
    <t>GRI 2-14</t>
  </si>
  <si>
    <t>Role of highest governance body in sustainability reporting</t>
  </si>
  <si>
    <t>22, 146</t>
  </si>
  <si>
    <t>GRI 2-15</t>
  </si>
  <si>
    <t>Conflicts of interest</t>
  </si>
  <si>
    <t>GRI 2-16</t>
  </si>
  <si>
    <t>Communication of critical concerns</t>
  </si>
  <si>
    <t>18, 146</t>
  </si>
  <si>
    <t>GRI 2-17</t>
  </si>
  <si>
    <t>Collective knowledge of the highest governance body</t>
  </si>
  <si>
    <t>GRI 2-18</t>
  </si>
  <si>
    <t>Evaluation of performance of the highest governance body</t>
  </si>
  <si>
    <t>GRI 2-19</t>
  </si>
  <si>
    <t>Remuneration policies</t>
  </si>
  <si>
    <t>19, 146</t>
  </si>
  <si>
    <t>GRI 2-20</t>
  </si>
  <si>
    <t>Process to determine remuneration</t>
  </si>
  <si>
    <t>GRI 2-21</t>
  </si>
  <si>
    <t>Annual total compensation ratio</t>
  </si>
  <si>
    <t>GRI 2-22</t>
  </si>
  <si>
    <t>Statement on sustainable development strategy</t>
  </si>
  <si>
    <t>142, 147</t>
  </si>
  <si>
    <t>GRI 2-23</t>
  </si>
  <si>
    <t>Policy commitments</t>
  </si>
  <si>
    <t>49, 147</t>
  </si>
  <si>
    <t>GRI 2-24</t>
  </si>
  <si>
    <t>Embedding policy commitments</t>
  </si>
  <si>
    <t>20, 147</t>
  </si>
  <si>
    <t>GRI 2-25</t>
  </si>
  <si>
    <t>Processes to remediate negative impacts</t>
  </si>
  <si>
    <t>GRI 2-26</t>
  </si>
  <si>
    <t>Mechanisms for seeking advice and raising concerns</t>
  </si>
  <si>
    <t>21, 147</t>
  </si>
  <si>
    <t>GRI 2-27</t>
  </si>
  <si>
    <t>Compliance with laws and regulations</t>
  </si>
  <si>
    <t>GRI 2-28</t>
  </si>
  <si>
    <t>Membership associations</t>
  </si>
  <si>
    <t>GRI 2-29</t>
  </si>
  <si>
    <t>Approach to stakeholder engagement</t>
  </si>
  <si>
    <t>36, 147</t>
  </si>
  <si>
    <t>GRI 2-30</t>
  </si>
  <si>
    <t>Collective bargaining agreements</t>
  </si>
  <si>
    <t>GRI 3: Material Topics 2021 (3 disclosures)</t>
  </si>
  <si>
    <t>GRI 3-1</t>
  </si>
  <si>
    <t>Process to determine material topics</t>
  </si>
  <si>
    <t>37, 147</t>
  </si>
  <si>
    <t>GRI 3-2</t>
  </si>
  <si>
    <t>List of material topics</t>
  </si>
  <si>
    <t>40, 147</t>
  </si>
  <si>
    <t>GRI 3-3</t>
  </si>
  <si>
    <t>Management of material topics</t>
  </si>
  <si>
    <t>38, 147</t>
  </si>
  <si>
    <t>GRI 305: Emissions 2016 (7 disclosures)</t>
  </si>
  <si>
    <t>GRI 305-1</t>
  </si>
  <si>
    <t>Direct (Scope 1) GHG emissions</t>
  </si>
  <si>
    <t>68, 149</t>
  </si>
  <si>
    <t>GRI 305-2</t>
  </si>
  <si>
    <t>Energy indirect (Scope 2) GHG emissions</t>
  </si>
  <si>
    <t>GRI 305-3</t>
  </si>
  <si>
    <t>Other indirect (Scope 3) GHG emissions</t>
  </si>
  <si>
    <t>GRI 305-4</t>
  </si>
  <si>
    <t>GHG emissions intensity</t>
  </si>
  <si>
    <t>69, 149</t>
  </si>
  <si>
    <t>GRI 305-5</t>
  </si>
  <si>
    <t>Reduction of GHG emissions</t>
  </si>
  <si>
    <t>66, 149</t>
  </si>
  <si>
    <t>GRI 305-6</t>
  </si>
  <si>
    <t>Emissions of ozone-depleting substances (ODS)</t>
  </si>
  <si>
    <t>GRI 305-7</t>
  </si>
  <si>
    <t>NOx, SOx, and other significant air emissions</t>
  </si>
  <si>
    <t>150</t>
  </si>
  <si>
    <t>GRI 303: Water and Effluents 2018 (5 disclosures)</t>
  </si>
  <si>
    <t>GRI 303-1</t>
  </si>
  <si>
    <t>Interactions with water as a shared resource</t>
  </si>
  <si>
    <t>74, 149</t>
  </si>
  <si>
    <t>GRI 303-2</t>
  </si>
  <si>
    <t>Management of water discharge-related impacts</t>
  </si>
  <si>
    <t>76, 149</t>
  </si>
  <si>
    <t>GRI 303-3</t>
  </si>
  <si>
    <t>Water withdrawal</t>
  </si>
  <si>
    <t>75, 149</t>
  </si>
  <si>
    <t>GRI 303-4</t>
  </si>
  <si>
    <t>Water discharge</t>
  </si>
  <si>
    <t>GRI 303-5</t>
  </si>
  <si>
    <t>GRI 403: Occupational Health and Safety 2018 (10 disclosures)</t>
  </si>
  <si>
    <t>GRI 403-1</t>
  </si>
  <si>
    <t>OHS management system</t>
  </si>
  <si>
    <t>108, 150</t>
  </si>
  <si>
    <t>GRI 403-2</t>
  </si>
  <si>
    <t>Hazard identification, risk assessment, incident investigation</t>
  </si>
  <si>
    <t>GRI 403-3</t>
  </si>
  <si>
    <t>Occupational health services</t>
  </si>
  <si>
    <t>109, 150</t>
  </si>
  <si>
    <t>GRI 403-4</t>
  </si>
  <si>
    <t>Worker participation, consultation, communication</t>
  </si>
  <si>
    <t>GRI 403-5</t>
  </si>
  <si>
    <t>Worker training on OHS</t>
  </si>
  <si>
    <t>110, 150</t>
  </si>
  <si>
    <t>GRI 403-6</t>
  </si>
  <si>
    <t>Promotion of worker health</t>
  </si>
  <si>
    <t>GRI 403-7</t>
  </si>
  <si>
    <t>Prevention and mitigation of OHS impacts via business relationships</t>
  </si>
  <si>
    <t>151</t>
  </si>
  <si>
    <t>GRI 403-8</t>
  </si>
  <si>
    <t>Workers covered by OHS management system</t>
  </si>
  <si>
    <t>GRI 403-9</t>
  </si>
  <si>
    <t>Work-related injuries</t>
  </si>
  <si>
    <t>110, 151</t>
  </si>
  <si>
    <t>GRI 403-10</t>
  </si>
  <si>
    <t>Work-related ill health</t>
  </si>
  <si>
    <t>Overall coverage across all 5 standards:</t>
  </si>
  <si>
    <t>55 of 55 disclosures</t>
  </si>
  <si>
    <t>Sr No.</t>
  </si>
  <si>
    <t xml:space="preserve">Wipro publishes a separate 163-page Sustainability Report FY 2024-25 alongside the mandatory BRSR. The report is explicitly GRI-aligned: each substantive section is tagged inline with its GRI disclosure code, and a formal GRI Content Index appears on pages 146-151.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</si>
</sst>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
    <numFmt numFmtId="167" formatCode="0.0000"/>
    <numFmt numFmtId="168" formatCode="0.00000000"/>
    <numFmt numFmtId="169" formatCode="0.000000"/>
    <numFmt numFmtId="170" formatCode="0.0000000"/>
  </numFmts>
  <fonts count="5" x14ac:knownFonts="1">
    <font>
      <sz val="11"/>
      <color theme="1"/>
      <name val="Calibri"/>
      <family val="2"/>
      <charset val="1"/>
    </font>
    <font>
      <b/>
      <sz val="12"/>
      <name val="Arial"/>
      <charset val="1"/>
    </font>
    <font>
      <sz val="10"/>
      <name val="Arial"/>
      <charset val="1"/>
    </font>
    <font>
      <b/>
      <sz val="10"/>
      <name val="Arial"/>
      <charset val="1"/>
    </font>
    <font>
      <i/>
      <sz val="9"/>
      <name val="Arial"/>
      <charset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0" fillId="0" borderId="0" xfId="0" applyAlignment="1">
      <alignment vertical="top" wrapText="1"/>
    </xf>
    <xf numFmtId="0" fontId="1" fillId="0" borderId="0" xfId="0" applyFont="1"/>
    <xf numFmtId="0" fontId="3" fillId="0" borderId="1" xfId="0" applyFont="1" applyBorder="1" applyAlignment="1">
      <alignment vertical="top" wrapText="1"/>
    </xf>
    <xf numFmtId="0" fontId="2" fillId="0" borderId="1" xfId="0" applyFont="1" applyBorder="1" applyAlignment="1">
      <alignment vertical="top" wrapText="1"/>
    </xf>
    <xf numFmtId="3" fontId="2" fillId="0" borderId="1" xfId="0" applyNumberFormat="1" applyFont="1" applyBorder="1" applyAlignment="1">
      <alignment vertical="top" wrapText="1"/>
    </xf>
    <xf numFmtId="10" fontId="2" fillId="0" borderId="1" xfId="0" applyNumberFormat="1" applyFont="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horizontal="center" vertical="center" wrapText="1"/>
    </xf>
    <xf numFmtId="0" fontId="2" fillId="0" borderId="1" xfId="0" applyFont="1" applyBorder="1"/>
    <xf numFmtId="3" fontId="2" fillId="0" borderId="1" xfId="0" applyNumberFormat="1" applyFont="1" applyBorder="1" applyAlignment="1">
      <alignment horizontal="center" vertical="center" wrapText="1"/>
    </xf>
    <xf numFmtId="0" fontId="3" fillId="0" borderId="0" xfId="0" applyFont="1"/>
    <xf numFmtId="165" fontId="2" fillId="0" borderId="1" xfId="0" applyNumberFormat="1" applyFont="1" applyBorder="1" applyAlignment="1">
      <alignment vertical="top" wrapText="1"/>
    </xf>
    <xf numFmtId="166" fontId="3" fillId="0" borderId="1" xfId="0" applyNumberFormat="1" applyFont="1" applyBorder="1" applyAlignment="1">
      <alignment vertical="top" wrapText="1"/>
    </xf>
    <xf numFmtId="167" fontId="3" fillId="0" borderId="1" xfId="0" applyNumberFormat="1" applyFont="1" applyBorder="1" applyAlignment="1">
      <alignment vertical="top" wrapText="1"/>
    </xf>
    <xf numFmtId="2" fontId="3" fillId="0" borderId="1" xfId="0" applyNumberFormat="1" applyFont="1" applyBorder="1" applyAlignment="1">
      <alignment vertical="top" wrapText="1"/>
    </xf>
    <xf numFmtId="164" fontId="3" fillId="0" borderId="1" xfId="0" applyNumberFormat="1" applyFont="1" applyBorder="1" applyAlignment="1">
      <alignment vertical="top" wrapText="1"/>
    </xf>
    <xf numFmtId="168" fontId="2" fillId="0" borderId="1" xfId="0" applyNumberFormat="1" applyFont="1" applyBorder="1" applyAlignment="1">
      <alignment vertical="top" wrapText="1"/>
    </xf>
    <xf numFmtId="169" fontId="2" fillId="0" borderId="1" xfId="0" applyNumberFormat="1" applyFont="1" applyBorder="1" applyAlignment="1">
      <alignment vertical="top" wrapText="1"/>
    </xf>
    <xf numFmtId="167" fontId="2" fillId="0" borderId="1" xfId="0" applyNumberFormat="1" applyFont="1" applyBorder="1" applyAlignment="1">
      <alignment vertical="top" wrapText="1"/>
    </xf>
    <xf numFmtId="170" fontId="2" fillId="0" borderId="1" xfId="0" applyNumberFormat="1" applyFont="1" applyBorder="1" applyAlignment="1">
      <alignment vertical="top" wrapText="1"/>
    </xf>
    <xf numFmtId="2" fontId="2" fillId="0" borderId="1" xfId="0" applyNumberFormat="1" applyFont="1" applyBorder="1" applyAlignment="1">
      <alignment vertical="top" wrapText="1"/>
    </xf>
    <xf numFmtId="0" fontId="3" fillId="0" borderId="1" xfId="0" applyFont="1" applyBorder="1" applyAlignment="1">
      <alignment horizontal="center" vertical="center" wrapText="1"/>
    </xf>
    <xf numFmtId="166" fontId="3" fillId="0" borderId="1" xfId="0" applyNumberFormat="1" applyFont="1" applyBorder="1" applyAlignment="1">
      <alignment horizontal="center" vertical="center" wrapText="1"/>
    </xf>
    <xf numFmtId="0" fontId="0" fillId="0" borderId="1" xfId="0" applyBorder="1"/>
    <xf numFmtId="0" fontId="2" fillId="0" borderId="1" xfId="0" applyFont="1" applyBorder="1" applyAlignment="1">
      <alignment horizontal="right" vertical="center" wrapText="1"/>
    </xf>
    <xf numFmtId="165" fontId="2" fillId="0" borderId="1" xfId="0" applyNumberFormat="1" applyFont="1" applyBorder="1" applyAlignment="1">
      <alignment horizontal="right" vertical="center" wrapText="1"/>
    </xf>
    <xf numFmtId="0" fontId="2" fillId="0" borderId="0" xfId="0" applyFont="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0" fillId="0" borderId="0" xfId="0"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zoomScaleNormal="100" workbookViewId="0">
      <selection activeCell="C24" sqref="C24"/>
    </sheetView>
  </sheetViews>
  <sheetFormatPr defaultColWidth="8.6328125" defaultRowHeight="14.5" x14ac:dyDescent="0.35"/>
  <cols>
    <col min="1" max="1" width="6" customWidth="1"/>
    <col min="2" max="2" width="40" customWidth="1"/>
    <col min="3" max="3" width="30" customWidth="1"/>
    <col min="4" max="4" width="16" customWidth="1"/>
    <col min="5" max="5" width="22" customWidth="1"/>
    <col min="6" max="6" width="14" customWidth="1"/>
    <col min="7" max="7" width="8" customWidth="1"/>
  </cols>
  <sheetData>
    <row r="1" spans="1:7" ht="15" customHeight="1" x14ac:dyDescent="0.35">
      <c r="A1" s="2" t="s">
        <v>0</v>
      </c>
    </row>
    <row r="3" spans="1:7" ht="15" customHeight="1" x14ac:dyDescent="0.35">
      <c r="A3" s="3" t="s">
        <v>246</v>
      </c>
      <c r="B3" s="3" t="s">
        <v>1</v>
      </c>
      <c r="C3" s="3" t="s">
        <v>2</v>
      </c>
      <c r="D3" s="3" t="s">
        <v>3</v>
      </c>
      <c r="E3" s="3" t="s">
        <v>4</v>
      </c>
      <c r="F3" s="3" t="s">
        <v>5</v>
      </c>
      <c r="G3" s="3" t="s">
        <v>6</v>
      </c>
    </row>
    <row r="4" spans="1:7" ht="15" customHeight="1" x14ac:dyDescent="0.35">
      <c r="A4" s="4">
        <v>1</v>
      </c>
      <c r="B4" s="4" t="s">
        <v>7</v>
      </c>
      <c r="C4" s="4" t="s">
        <v>8</v>
      </c>
      <c r="D4" s="5">
        <v>672928</v>
      </c>
      <c r="E4" s="4" t="s">
        <v>9</v>
      </c>
      <c r="F4" s="4" t="s">
        <v>10</v>
      </c>
      <c r="G4" s="4">
        <v>483</v>
      </c>
    </row>
    <row r="5" spans="1:7" ht="15" customHeight="1" x14ac:dyDescent="0.35">
      <c r="A5" s="4">
        <v>2</v>
      </c>
      <c r="B5" s="4" t="s">
        <v>11</v>
      </c>
      <c r="C5" s="4" t="s">
        <v>12</v>
      </c>
      <c r="D5" s="5">
        <v>225306</v>
      </c>
      <c r="E5" s="4" t="s">
        <v>13</v>
      </c>
      <c r="F5" s="4" t="s">
        <v>10</v>
      </c>
      <c r="G5" s="4">
        <v>482</v>
      </c>
    </row>
    <row r="6" spans="1:7" x14ac:dyDescent="0.35">
      <c r="A6" s="4">
        <v>3</v>
      </c>
      <c r="B6" s="4" t="s">
        <v>14</v>
      </c>
      <c r="C6" s="4" t="s">
        <v>12</v>
      </c>
      <c r="D6" s="6">
        <v>0.37130000000000002</v>
      </c>
      <c r="E6" s="4" t="s">
        <v>15</v>
      </c>
      <c r="F6" s="4" t="s">
        <v>10</v>
      </c>
      <c r="G6" s="4">
        <v>482</v>
      </c>
    </row>
    <row r="7" spans="1:7" ht="15" customHeight="1" x14ac:dyDescent="0.35">
      <c r="A7" s="4">
        <v>4</v>
      </c>
      <c r="B7" s="4" t="s">
        <v>16</v>
      </c>
      <c r="C7" s="4" t="s">
        <v>17</v>
      </c>
      <c r="D7" s="6">
        <v>0.14810000000000001</v>
      </c>
      <c r="E7" s="4" t="s">
        <v>18</v>
      </c>
      <c r="F7" s="4" t="s">
        <v>10</v>
      </c>
      <c r="G7" s="4">
        <v>482</v>
      </c>
    </row>
    <row r="8" spans="1:7" ht="15" customHeight="1" x14ac:dyDescent="0.35">
      <c r="A8" s="4">
        <v>5</v>
      </c>
      <c r="B8" s="4" t="s">
        <v>19</v>
      </c>
      <c r="C8" s="4" t="s">
        <v>20</v>
      </c>
      <c r="D8" s="5">
        <v>0.27</v>
      </c>
      <c r="E8" s="4" t="s">
        <v>21</v>
      </c>
      <c r="F8" s="4" t="s">
        <v>10</v>
      </c>
      <c r="G8" s="4">
        <v>499</v>
      </c>
    </row>
    <row r="9" spans="1:7" ht="15" customHeight="1" x14ac:dyDescent="0.35">
      <c r="A9" s="4">
        <v>6</v>
      </c>
      <c r="B9" s="4" t="s">
        <v>22</v>
      </c>
      <c r="C9" s="4" t="s">
        <v>23</v>
      </c>
      <c r="D9" s="5">
        <v>31462</v>
      </c>
      <c r="E9" s="4" t="s">
        <v>24</v>
      </c>
      <c r="F9" s="4" t="s">
        <v>10</v>
      </c>
      <c r="G9" s="4">
        <v>509</v>
      </c>
    </row>
    <row r="10" spans="1:7" ht="15" customHeight="1" x14ac:dyDescent="0.35">
      <c r="A10" s="4">
        <v>7</v>
      </c>
      <c r="B10" s="4" t="s">
        <v>25</v>
      </c>
      <c r="C10" s="4" t="s">
        <v>26</v>
      </c>
      <c r="D10" s="5">
        <v>1307531</v>
      </c>
      <c r="E10" s="4" t="s">
        <v>27</v>
      </c>
      <c r="F10" s="4" t="s">
        <v>10</v>
      </c>
      <c r="G10" s="4">
        <v>507</v>
      </c>
    </row>
    <row r="11" spans="1:7" ht="15" customHeight="1" x14ac:dyDescent="0.35">
      <c r="A11" s="4">
        <v>8</v>
      </c>
      <c r="B11" s="4" t="s">
        <v>28</v>
      </c>
      <c r="C11" s="4" t="s">
        <v>29</v>
      </c>
      <c r="D11" s="7">
        <v>756175527.79999995</v>
      </c>
      <c r="E11" s="4" t="s">
        <v>30</v>
      </c>
      <c r="F11" s="4" t="s">
        <v>10</v>
      </c>
      <c r="G11" s="4">
        <v>506</v>
      </c>
    </row>
    <row r="12" spans="1:7" ht="15" customHeight="1" x14ac:dyDescent="0.35">
      <c r="A12" s="25">
        <v>9</v>
      </c>
      <c r="B12" s="9" t="s">
        <v>31</v>
      </c>
      <c r="C12" s="9" t="s">
        <v>32</v>
      </c>
      <c r="D12" s="10">
        <v>125</v>
      </c>
      <c r="E12" s="8" t="s">
        <v>33</v>
      </c>
      <c r="F12" s="8" t="s">
        <v>10</v>
      </c>
      <c r="G12" s="8">
        <v>504</v>
      </c>
    </row>
    <row r="13" spans="1:7" ht="15" customHeight="1" x14ac:dyDescent="0.35">
      <c r="A13" s="11"/>
    </row>
    <row r="14" spans="1:7" ht="15" customHeight="1" x14ac:dyDescent="0.35"/>
    <row r="15" spans="1:7" ht="15" customHeight="1" x14ac:dyDescent="0.35"/>
    <row r="16" spans="1:7" ht="15" customHeight="1" x14ac:dyDescent="0.35"/>
    <row r="17" spans="1:7" ht="15" customHeight="1" x14ac:dyDescent="0.35">
      <c r="A17" s="27"/>
      <c r="B17" s="27"/>
      <c r="C17" s="27"/>
      <c r="D17" s="27"/>
      <c r="E17" s="27"/>
      <c r="F17" s="27"/>
      <c r="G17" s="27"/>
    </row>
    <row r="18" spans="1:7" ht="15" customHeight="1" x14ac:dyDescent="0.35">
      <c r="A18" s="11"/>
    </row>
    <row r="19" spans="1:7" ht="15" customHeight="1" x14ac:dyDescent="0.35">
      <c r="A19" s="31"/>
      <c r="B19" s="31"/>
      <c r="C19" s="31"/>
      <c r="D19" s="31"/>
      <c r="E19" s="31"/>
      <c r="F19" s="31"/>
      <c r="G19" s="31"/>
    </row>
    <row r="20" spans="1:7" ht="15" customHeight="1" x14ac:dyDescent="0.35">
      <c r="A20" s="31"/>
      <c r="B20" s="31"/>
      <c r="C20" s="31"/>
      <c r="D20" s="31"/>
      <c r="E20" s="31"/>
      <c r="F20" s="31"/>
      <c r="G20" s="31"/>
    </row>
    <row r="21" spans="1:7" ht="15" customHeight="1" x14ac:dyDescent="0.35">
      <c r="A21" s="31"/>
      <c r="B21" s="31"/>
      <c r="C21" s="31"/>
      <c r="D21" s="31"/>
      <c r="E21" s="31"/>
      <c r="F21" s="31"/>
      <c r="G21" s="31"/>
    </row>
    <row r="22" spans="1:7" ht="15" customHeight="1" x14ac:dyDescent="0.35">
      <c r="A22" s="31"/>
      <c r="B22" s="31"/>
      <c r="C22" s="31"/>
      <c r="D22" s="31"/>
      <c r="E22" s="31"/>
      <c r="F22" s="31"/>
      <c r="G22" s="31"/>
    </row>
    <row r="23" spans="1:7" ht="84.75" customHeight="1" x14ac:dyDescent="0.35">
      <c r="A23" s="31"/>
      <c r="B23" s="31"/>
      <c r="C23" s="31"/>
      <c r="D23" s="31"/>
      <c r="E23" s="31"/>
      <c r="F23" s="31"/>
      <c r="G23" s="31"/>
    </row>
    <row r="24" spans="1:7" ht="15" customHeight="1" x14ac:dyDescent="0.35"/>
    <row r="25" spans="1:7" ht="15" customHeight="1" x14ac:dyDescent="0.35"/>
    <row r="26" spans="1:7" ht="15" customHeight="1" x14ac:dyDescent="0.35"/>
    <row r="27" spans="1:7" ht="15" customHeight="1" x14ac:dyDescent="0.35"/>
  </sheetData>
  <mergeCells count="2">
    <mergeCell ref="A17:G17"/>
    <mergeCell ref="A19:G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zoomScaleNormal="100" workbookViewId="0">
      <selection activeCell="E18" sqref="E18"/>
    </sheetView>
  </sheetViews>
  <sheetFormatPr defaultColWidth="8.6328125" defaultRowHeight="14.5" x14ac:dyDescent="0.35"/>
  <cols>
    <col min="1" max="1" width="5" customWidth="1"/>
    <col min="2" max="2" width="40" customWidth="1"/>
    <col min="3" max="3" width="18" customWidth="1"/>
    <col min="4" max="4" width="16" customWidth="1"/>
    <col min="5" max="5" width="8" customWidth="1"/>
  </cols>
  <sheetData>
    <row r="1" spans="1:5" ht="15" customHeight="1" x14ac:dyDescent="0.35">
      <c r="A1" s="2" t="s">
        <v>34</v>
      </c>
    </row>
    <row r="3" spans="1:5" ht="15" customHeight="1" x14ac:dyDescent="0.35">
      <c r="A3" s="11" t="s">
        <v>35</v>
      </c>
    </row>
    <row r="4" spans="1:5" ht="64.5" customHeight="1" x14ac:dyDescent="0.35">
      <c r="A4" s="31" t="s">
        <v>36</v>
      </c>
      <c r="B4" s="31"/>
      <c r="C4" s="31"/>
      <c r="D4" s="31"/>
      <c r="E4" s="31"/>
    </row>
    <row r="5" spans="1:5" ht="15" customHeight="1" x14ac:dyDescent="0.35">
      <c r="A5" s="31"/>
      <c r="B5" s="31"/>
      <c r="C5" s="31"/>
      <c r="D5" s="31"/>
      <c r="E5" s="31"/>
    </row>
    <row r="6" spans="1:5" ht="15" customHeight="1" x14ac:dyDescent="0.35">
      <c r="A6" s="31"/>
      <c r="B6" s="31"/>
      <c r="C6" s="31"/>
      <c r="D6" s="31"/>
      <c r="E6" s="31"/>
    </row>
    <row r="7" spans="1:5" ht="15" customHeight="1" x14ac:dyDescent="0.35">
      <c r="A7" s="31"/>
      <c r="B7" s="31"/>
      <c r="C7" s="31"/>
      <c r="D7" s="31"/>
      <c r="E7" s="31"/>
    </row>
    <row r="9" spans="1:5" ht="15" customHeight="1" x14ac:dyDescent="0.35">
      <c r="A9" s="3" t="s">
        <v>246</v>
      </c>
      <c r="B9" s="3" t="s">
        <v>1</v>
      </c>
      <c r="C9" s="3" t="s">
        <v>37</v>
      </c>
      <c r="D9" s="3" t="s">
        <v>38</v>
      </c>
      <c r="E9" s="3" t="s">
        <v>6</v>
      </c>
    </row>
    <row r="10" spans="1:5" ht="15" customHeight="1" x14ac:dyDescent="0.35">
      <c r="A10" s="4">
        <f>1</f>
        <v>1</v>
      </c>
      <c r="B10" s="4" t="str">
        <f>'KPI Data'!B4</f>
        <v>Revenue from operations (Turnover)</v>
      </c>
      <c r="C10" s="12">
        <f>'KPI Data'!D4</f>
        <v>672928</v>
      </c>
      <c r="D10" s="4">
        <f>IF(ISNUMBER('KPI Data'!D4),1,0)</f>
        <v>1</v>
      </c>
      <c r="E10" s="4">
        <f>'KPI Data'!G4</f>
        <v>483</v>
      </c>
    </row>
    <row r="11" spans="1:5" ht="15" customHeight="1" x14ac:dyDescent="0.35">
      <c r="A11" s="4">
        <f>2</f>
        <v>2</v>
      </c>
      <c r="B11" s="4" t="str">
        <f>'KPI Data'!B5</f>
        <v>Total permanent employees</v>
      </c>
      <c r="C11" s="12">
        <f>'KPI Data'!D5</f>
        <v>225306</v>
      </c>
      <c r="D11" s="4">
        <f>IF(ISNUMBER('KPI Data'!D5),1,0)</f>
        <v>1</v>
      </c>
      <c r="E11" s="4">
        <f>'KPI Data'!G5</f>
        <v>482</v>
      </c>
    </row>
    <row r="12" spans="1:5" ht="15" customHeight="1" x14ac:dyDescent="0.35">
      <c r="A12" s="4">
        <f>3</f>
        <v>3</v>
      </c>
      <c r="B12" s="4" t="str">
        <f>'KPI Data'!B6</f>
        <v>Female employees in permanent workforce</v>
      </c>
      <c r="C12" s="12">
        <f>'KPI Data'!D6</f>
        <v>0.37130000000000002</v>
      </c>
      <c r="D12" s="4">
        <f>IF(ISNUMBER('KPI Data'!D6),1,0)</f>
        <v>1</v>
      </c>
      <c r="E12" s="4">
        <f>'KPI Data'!G6</f>
        <v>482</v>
      </c>
    </row>
    <row r="13" spans="1:5" ht="15" customHeight="1" x14ac:dyDescent="0.35">
      <c r="A13" s="4">
        <f>4</f>
        <v>4</v>
      </c>
      <c r="B13" s="4" t="str">
        <f>'KPI Data'!B7</f>
        <v>Employee turnover rate (permanent, total)</v>
      </c>
      <c r="C13" s="12">
        <f>'KPI Data'!D7</f>
        <v>0.14810000000000001</v>
      </c>
      <c r="D13" s="4">
        <f>IF(ISNUMBER('KPI Data'!D7),1,0)</f>
        <v>1</v>
      </c>
      <c r="E13" s="4">
        <f>'KPI Data'!G7</f>
        <v>482</v>
      </c>
    </row>
    <row r="14" spans="1:5" ht="15" customHeight="1" x14ac:dyDescent="0.35">
      <c r="A14" s="4">
        <f>5</f>
        <v>5</v>
      </c>
      <c r="B14" s="4" t="str">
        <f>'KPI Data'!B8</f>
        <v>LTIFR</v>
      </c>
      <c r="C14" s="12">
        <f>'KPI Data'!D8</f>
        <v>0.27</v>
      </c>
      <c r="D14" s="4">
        <f>IF(ISNUMBER('KPI Data'!D8),1,0)</f>
        <v>1</v>
      </c>
      <c r="E14" s="4">
        <f>'KPI Data'!G8</f>
        <v>499</v>
      </c>
    </row>
    <row r="15" spans="1:5" ht="15" customHeight="1" x14ac:dyDescent="0.35">
      <c r="A15" s="4">
        <f>6</f>
        <v>6</v>
      </c>
      <c r="B15" s="4" t="str">
        <f>'KPI Data'!B9</f>
        <v>Scope 1 + Scope 2 GHG emissions</v>
      </c>
      <c r="C15" s="12">
        <f>'KPI Data'!D9</f>
        <v>31462</v>
      </c>
      <c r="D15" s="4">
        <f>IF(ISNUMBER('KPI Data'!D9),1,0)</f>
        <v>1</v>
      </c>
      <c r="E15" s="4">
        <f>'KPI Data'!G9</f>
        <v>509</v>
      </c>
    </row>
    <row r="16" spans="1:5" ht="15" customHeight="1" x14ac:dyDescent="0.35">
      <c r="A16" s="4">
        <f>7</f>
        <v>7</v>
      </c>
      <c r="B16" s="4" t="str">
        <f>'KPI Data'!B10</f>
        <v>Water consumption (total)</v>
      </c>
      <c r="C16" s="12">
        <f>'KPI Data'!D10</f>
        <v>1307531</v>
      </c>
      <c r="D16" s="4">
        <f>IF(ISNUMBER('KPI Data'!D10),1,0)</f>
        <v>1</v>
      </c>
      <c r="E16" s="4">
        <f>'KPI Data'!G10</f>
        <v>507</v>
      </c>
    </row>
    <row r="17" spans="1:5" ht="15" customHeight="1" x14ac:dyDescent="0.35">
      <c r="A17" s="4">
        <f>8</f>
        <v>8</v>
      </c>
      <c r="B17" s="4" t="str">
        <f>'KPI Data'!B11</f>
        <v>Total energy consumed</v>
      </c>
      <c r="C17" s="12">
        <f>'KPI Data'!D11</f>
        <v>756175527.79999995</v>
      </c>
      <c r="D17" s="4">
        <f>IF(ISNUMBER('KPI Data'!D11),1,0)</f>
        <v>1</v>
      </c>
      <c r="E17" s="4">
        <f>'KPI Data'!G11</f>
        <v>506</v>
      </c>
    </row>
    <row r="18" spans="1:5" ht="15" customHeight="1" x14ac:dyDescent="0.35">
      <c r="A18" s="25">
        <f>9</f>
        <v>9</v>
      </c>
      <c r="B18" s="9" t="str">
        <f>'KPI Data'!B12</f>
        <v>POSH complaints filed (Sexual Harassment)</v>
      </c>
      <c r="C18" s="26">
        <f>'KPI Data'!D12</f>
        <v>125</v>
      </c>
      <c r="D18" s="25">
        <f>IF(ISNUMBER('KPI Data'!D12),1,0)</f>
        <v>1</v>
      </c>
      <c r="E18" s="25">
        <f>'KPI Data'!G12</f>
        <v>504</v>
      </c>
    </row>
    <row r="19" spans="1:5" ht="15" customHeight="1" x14ac:dyDescent="0.35">
      <c r="B19" s="3" t="s">
        <v>39</v>
      </c>
      <c r="C19" s="4"/>
      <c r="D19" s="4">
        <f>SUM(D10:D18)</f>
        <v>9</v>
      </c>
      <c r="E19" s="4"/>
    </row>
    <row r="20" spans="1:5" ht="15" customHeight="1" x14ac:dyDescent="0.35">
      <c r="B20" s="3" t="s">
        <v>40</v>
      </c>
      <c r="C20" s="4"/>
      <c r="D20" s="4">
        <f>COUNTA(A10:A18)</f>
        <v>9</v>
      </c>
      <c r="E20" s="4"/>
    </row>
    <row r="21" spans="1:5" ht="15" customHeight="1" x14ac:dyDescent="0.35">
      <c r="B21" s="3" t="s">
        <v>41</v>
      </c>
      <c r="C21" s="4"/>
      <c r="D21" s="13">
        <f>D19/D20</f>
        <v>1</v>
      </c>
      <c r="E21" s="4"/>
    </row>
    <row r="23" spans="1:5" ht="15" customHeight="1" x14ac:dyDescent="0.35">
      <c r="A23" s="11"/>
    </row>
    <row r="24" spans="1:5" ht="45" customHeight="1" x14ac:dyDescent="0.35">
      <c r="A24" s="31"/>
      <c r="B24" s="31"/>
      <c r="C24" s="31"/>
      <c r="D24" s="31"/>
      <c r="E24" s="31"/>
    </row>
    <row r="25" spans="1:5" ht="15" customHeight="1" x14ac:dyDescent="0.35">
      <c r="A25" s="31"/>
      <c r="B25" s="31"/>
      <c r="C25" s="31"/>
      <c r="D25" s="31"/>
      <c r="E25" s="31"/>
    </row>
    <row r="26" spans="1:5" ht="15" customHeight="1" x14ac:dyDescent="0.35">
      <c r="A26" s="31"/>
      <c r="B26" s="31"/>
      <c r="C26" s="31"/>
      <c r="D26" s="31"/>
      <c r="E26" s="31"/>
    </row>
  </sheetData>
  <mergeCells count="2">
    <mergeCell ref="A4:E7"/>
    <mergeCell ref="A24:E2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
  <sheetViews>
    <sheetView topLeftCell="A19" zoomScaleNormal="100" workbookViewId="0">
      <selection activeCell="F32" sqref="F32"/>
    </sheetView>
  </sheetViews>
  <sheetFormatPr defaultColWidth="8.6328125" defaultRowHeight="14.5" x14ac:dyDescent="0.35"/>
  <cols>
    <col min="1" max="2" width="26" customWidth="1"/>
    <col min="3" max="3" width="14.08984375" bestFit="1" customWidth="1"/>
    <col min="4" max="4" width="22" customWidth="1"/>
    <col min="5" max="5" width="30" customWidth="1"/>
  </cols>
  <sheetData>
    <row r="1" spans="1:5" ht="15" customHeight="1" x14ac:dyDescent="0.35">
      <c r="A1" s="2" t="s">
        <v>42</v>
      </c>
    </row>
    <row r="3" spans="1:5" ht="54.75" customHeight="1" x14ac:dyDescent="0.35">
      <c r="A3" s="31"/>
      <c r="B3" s="31"/>
      <c r="C3" s="31"/>
      <c r="D3" s="31"/>
      <c r="E3" s="31"/>
    </row>
    <row r="4" spans="1:5" ht="15" customHeight="1" x14ac:dyDescent="0.35">
      <c r="A4" s="31"/>
      <c r="B4" s="31"/>
      <c r="C4" s="31"/>
      <c r="D4" s="31"/>
      <c r="E4" s="31"/>
    </row>
    <row r="5" spans="1:5" ht="15" customHeight="1" x14ac:dyDescent="0.35">
      <c r="A5" s="31"/>
      <c r="B5" s="31"/>
      <c r="C5" s="31"/>
      <c r="D5" s="31"/>
      <c r="E5" s="31"/>
    </row>
    <row r="6" spans="1:5" ht="15" customHeight="1" x14ac:dyDescent="0.35">
      <c r="A6" s="31"/>
      <c r="B6" s="31"/>
      <c r="C6" s="31"/>
      <c r="D6" s="31"/>
      <c r="E6" s="31"/>
    </row>
    <row r="8" spans="1:5" ht="15" customHeight="1" x14ac:dyDescent="0.35">
      <c r="A8" s="11" t="s">
        <v>43</v>
      </c>
    </row>
    <row r="9" spans="1:5" ht="15" customHeight="1" x14ac:dyDescent="0.35">
      <c r="A9" s="3" t="s">
        <v>44</v>
      </c>
      <c r="B9" s="3" t="s">
        <v>45</v>
      </c>
      <c r="C9" s="3" t="s">
        <v>3</v>
      </c>
      <c r="D9" s="3" t="s">
        <v>4</v>
      </c>
    </row>
    <row r="10" spans="1:5" ht="15" customHeight="1" x14ac:dyDescent="0.35">
      <c r="A10" s="4" t="s">
        <v>46</v>
      </c>
      <c r="B10" s="4">
        <f>'KPI Data'!D4 / 10</f>
        <v>67292.800000000003</v>
      </c>
      <c r="C10" s="7">
        <f>'KPI Data'!D4 / 10</f>
        <v>67292.800000000003</v>
      </c>
      <c r="D10" s="4" t="s">
        <v>47</v>
      </c>
    </row>
    <row r="11" spans="1:5" ht="15" customHeight="1" x14ac:dyDescent="0.35">
      <c r="A11" s="4" t="s">
        <v>48</v>
      </c>
      <c r="B11" s="5">
        <f>'KPI Data'!D9</f>
        <v>31462</v>
      </c>
      <c r="C11" s="5">
        <f>'KPI Data'!D9</f>
        <v>31462</v>
      </c>
      <c r="D11" s="4" t="s">
        <v>24</v>
      </c>
    </row>
    <row r="12" spans="1:5" ht="15" customHeight="1" x14ac:dyDescent="0.35">
      <c r="A12" s="4" t="s">
        <v>49</v>
      </c>
      <c r="B12" s="5">
        <f>'KPI Data'!D10</f>
        <v>1307531</v>
      </c>
      <c r="C12" s="5">
        <f>'KPI Data'!D10</f>
        <v>1307531</v>
      </c>
      <c r="D12" s="4" t="s">
        <v>50</v>
      </c>
    </row>
    <row r="13" spans="1:5" ht="15" customHeight="1" x14ac:dyDescent="0.35">
      <c r="A13" s="4" t="s">
        <v>28</v>
      </c>
      <c r="B13" s="7">
        <f>'KPI Data'!D11</f>
        <v>756175527.79999995</v>
      </c>
      <c r="C13" s="7">
        <f>'KPI Data'!D11</f>
        <v>756175527.79999995</v>
      </c>
      <c r="D13" s="4" t="s">
        <v>30</v>
      </c>
    </row>
    <row r="15" spans="1:5" ht="15" customHeight="1" x14ac:dyDescent="0.35">
      <c r="A15" s="3" t="s">
        <v>51</v>
      </c>
      <c r="B15" s="3" t="s">
        <v>45</v>
      </c>
      <c r="C15" s="3" t="s">
        <v>3</v>
      </c>
      <c r="D15" s="3" t="s">
        <v>4</v>
      </c>
    </row>
    <row r="16" spans="1:5" ht="23.25" customHeight="1" x14ac:dyDescent="0.35">
      <c r="A16" s="4" t="s">
        <v>52</v>
      </c>
      <c r="B16" s="4">
        <f>C11 / C10</f>
        <v>0.4675388748870607</v>
      </c>
      <c r="C16" s="14">
        <f>C11 / C10</f>
        <v>0.4675388748870607</v>
      </c>
      <c r="D16" s="4" t="s">
        <v>53</v>
      </c>
    </row>
    <row r="17" spans="1:5" ht="23.25" customHeight="1" x14ac:dyDescent="0.35">
      <c r="A17" s="4" t="s">
        <v>54</v>
      </c>
      <c r="B17" s="4">
        <f>C12 / C10</f>
        <v>19.43047398830187</v>
      </c>
      <c r="C17" s="15">
        <f>C12 / C10</f>
        <v>19.43047398830187</v>
      </c>
      <c r="D17" s="4" t="s">
        <v>55</v>
      </c>
    </row>
    <row r="18" spans="1:5" ht="15" customHeight="1" x14ac:dyDescent="0.35">
      <c r="A18" s="4" t="s">
        <v>56</v>
      </c>
      <c r="B18" s="4">
        <f>C13 / C10</f>
        <v>11237.094128940986</v>
      </c>
      <c r="C18" s="16">
        <f>C13 / C10</f>
        <v>11237.094128940986</v>
      </c>
      <c r="D18" s="4" t="s">
        <v>57</v>
      </c>
    </row>
    <row r="20" spans="1:5" ht="15" customHeight="1" x14ac:dyDescent="0.35">
      <c r="A20" s="11" t="s">
        <v>58</v>
      </c>
    </row>
    <row r="21" spans="1:5" ht="30" customHeight="1" x14ac:dyDescent="0.35">
      <c r="A21" s="31" t="s">
        <v>59</v>
      </c>
      <c r="B21" s="31"/>
      <c r="C21" s="31"/>
      <c r="D21" s="31"/>
      <c r="E21" s="31"/>
    </row>
    <row r="22" spans="1:5" ht="15" customHeight="1" x14ac:dyDescent="0.35">
      <c r="A22" s="31"/>
      <c r="B22" s="31"/>
      <c r="C22" s="31"/>
      <c r="D22" s="31"/>
      <c r="E22" s="31"/>
    </row>
    <row r="24" spans="1:5" ht="23.25" customHeight="1" x14ac:dyDescent="0.35">
      <c r="A24" s="3" t="s">
        <v>60</v>
      </c>
      <c r="B24" s="3" t="s">
        <v>61</v>
      </c>
      <c r="C24" s="3" t="s">
        <v>6</v>
      </c>
      <c r="D24" s="3" t="s">
        <v>62</v>
      </c>
      <c r="E24" s="3" t="s">
        <v>45</v>
      </c>
    </row>
    <row r="25" spans="1:5" ht="15" customHeight="1" x14ac:dyDescent="0.35">
      <c r="A25" s="4" t="s">
        <v>63</v>
      </c>
      <c r="B25" s="17">
        <v>8.4878999999999998E-4</v>
      </c>
      <c r="C25" s="4">
        <v>506</v>
      </c>
      <c r="D25" s="7">
        <f>B25*10000000</f>
        <v>8487.9</v>
      </c>
      <c r="E25" s="4">
        <f>B25*10000000</f>
        <v>8487.9</v>
      </c>
    </row>
    <row r="26" spans="1:5" ht="15" customHeight="1" x14ac:dyDescent="0.35">
      <c r="A26" s="4" t="s">
        <v>64</v>
      </c>
      <c r="B26" s="18">
        <v>3.4999999999999997E-5</v>
      </c>
      <c r="C26" s="4">
        <v>509</v>
      </c>
      <c r="D26" s="19">
        <f>B26*10000</f>
        <v>0.35</v>
      </c>
      <c r="E26" s="4">
        <f>B26*10000000/1000</f>
        <v>0.34999999999999992</v>
      </c>
    </row>
    <row r="27" spans="1:5" ht="15" customHeight="1" x14ac:dyDescent="0.35">
      <c r="A27" s="4" t="s">
        <v>65</v>
      </c>
      <c r="B27" s="20">
        <v>1.5E-6</v>
      </c>
      <c r="C27" s="4">
        <v>507</v>
      </c>
      <c r="D27" s="21">
        <f>B27*10000000</f>
        <v>15</v>
      </c>
      <c r="E27" s="4">
        <f>B27*10000000</f>
        <v>15</v>
      </c>
    </row>
    <row r="29" spans="1:5" ht="24.75" customHeight="1" x14ac:dyDescent="0.35">
      <c r="A29" s="32" t="s">
        <v>66</v>
      </c>
      <c r="B29" s="32"/>
      <c r="C29" s="32"/>
      <c r="D29" s="32"/>
      <c r="E29" s="32"/>
    </row>
    <row r="30" spans="1:5" ht="15" customHeight="1" x14ac:dyDescent="0.35">
      <c r="A30" s="32"/>
      <c r="B30" s="32"/>
      <c r="C30" s="32"/>
      <c r="D30" s="32"/>
      <c r="E30" s="32"/>
    </row>
    <row r="32" spans="1:5" ht="34.5" customHeight="1" x14ac:dyDescent="0.35">
      <c r="A32" s="3" t="s">
        <v>60</v>
      </c>
      <c r="B32" s="3" t="s">
        <v>67</v>
      </c>
      <c r="C32" s="3" t="s">
        <v>68</v>
      </c>
      <c r="D32" s="3" t="s">
        <v>69</v>
      </c>
      <c r="E32" s="3" t="s">
        <v>70</v>
      </c>
    </row>
    <row r="33" spans="1:5" ht="15" customHeight="1" x14ac:dyDescent="0.35">
      <c r="A33" s="4" t="s">
        <v>71</v>
      </c>
      <c r="B33" s="19">
        <f>C16</f>
        <v>0.4675388748870607</v>
      </c>
      <c r="C33" s="19">
        <f>D26</f>
        <v>0.35</v>
      </c>
      <c r="D33" s="21">
        <f>B33/C33</f>
        <v>1.3358253568201734</v>
      </c>
      <c r="E33" s="5">
        <f>C11/D26</f>
        <v>89891.42857142858</v>
      </c>
    </row>
    <row r="34" spans="1:5" ht="15" customHeight="1" x14ac:dyDescent="0.35">
      <c r="A34" s="4" t="s">
        <v>72</v>
      </c>
      <c r="B34" s="21">
        <f>C17</f>
        <v>19.43047398830187</v>
      </c>
      <c r="C34" s="21">
        <f>D27</f>
        <v>15</v>
      </c>
      <c r="D34" s="21">
        <f>B34/C34</f>
        <v>1.295364932553458</v>
      </c>
      <c r="E34" s="5">
        <f>C12/D27</f>
        <v>87168.733333333337</v>
      </c>
    </row>
    <row r="35" spans="1:5" ht="15" customHeight="1" x14ac:dyDescent="0.35">
      <c r="A35" s="4" t="s">
        <v>73</v>
      </c>
      <c r="B35" s="7">
        <f>C18</f>
        <v>11237.094128940986</v>
      </c>
      <c r="C35" s="7">
        <f>D25</f>
        <v>8487.9</v>
      </c>
      <c r="D35" s="21">
        <f>B35/C35</f>
        <v>1.3238956784294096</v>
      </c>
      <c r="E35" s="5">
        <f>C13/D25</f>
        <v>89088.647109414582</v>
      </c>
    </row>
    <row r="37" spans="1:5" ht="15" customHeight="1" x14ac:dyDescent="0.35">
      <c r="A37" s="11" t="s">
        <v>74</v>
      </c>
    </row>
    <row r="38" spans="1:5" ht="75" customHeight="1" x14ac:dyDescent="0.35">
      <c r="A38" s="31" t="s">
        <v>75</v>
      </c>
      <c r="B38" s="31"/>
      <c r="C38" s="31"/>
      <c r="D38" s="31"/>
      <c r="E38" s="31"/>
    </row>
    <row r="39" spans="1:5" ht="15" customHeight="1" x14ac:dyDescent="0.35">
      <c r="A39" s="31"/>
      <c r="B39" s="31"/>
      <c r="C39" s="31"/>
      <c r="D39" s="31"/>
      <c r="E39" s="31"/>
    </row>
    <row r="40" spans="1:5" ht="15" customHeight="1" x14ac:dyDescent="0.35">
      <c r="A40" s="31"/>
      <c r="B40" s="31"/>
      <c r="C40" s="31"/>
      <c r="D40" s="31"/>
      <c r="E40" s="31"/>
    </row>
    <row r="41" spans="1:5" ht="15" customHeight="1" x14ac:dyDescent="0.35">
      <c r="A41" s="31"/>
      <c r="B41" s="31"/>
      <c r="C41" s="31"/>
      <c r="D41" s="31"/>
      <c r="E41" s="31"/>
    </row>
  </sheetData>
  <mergeCells count="4">
    <mergeCell ref="A3:E6"/>
    <mergeCell ref="A21:E22"/>
    <mergeCell ref="A29:E30"/>
    <mergeCell ref="A38:E4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1"/>
  <sheetViews>
    <sheetView tabSelected="1" zoomScaleNormal="100" workbookViewId="0">
      <selection activeCell="A5" sqref="A5"/>
    </sheetView>
  </sheetViews>
  <sheetFormatPr defaultColWidth="8.6328125" defaultRowHeight="14.5" x14ac:dyDescent="0.35"/>
  <cols>
    <col min="1" max="1" width="92.7265625" bestFit="1" customWidth="1"/>
    <col min="2" max="2" width="50" customWidth="1"/>
    <col min="3" max="3" width="11.26953125" customWidth="1"/>
    <col min="4" max="4" width="12" customWidth="1"/>
    <col min="5" max="5" width="22" customWidth="1"/>
    <col min="6" max="6" width="16" customWidth="1"/>
    <col min="7" max="7" width="15" customWidth="1"/>
  </cols>
  <sheetData>
    <row r="1" spans="1:7" ht="15" customHeight="1" x14ac:dyDescent="0.35">
      <c r="A1" s="2" t="s">
        <v>76</v>
      </c>
    </row>
    <row r="3" spans="1:7" ht="15" customHeight="1" x14ac:dyDescent="0.35">
      <c r="A3" s="11" t="s">
        <v>77</v>
      </c>
    </row>
    <row r="4" spans="1:7" ht="54.75" customHeight="1" x14ac:dyDescent="0.35">
      <c r="A4" s="1" t="s">
        <v>247</v>
      </c>
      <c r="B4" s="1"/>
      <c r="C4" s="1"/>
      <c r="D4" s="1"/>
      <c r="E4" s="1"/>
      <c r="F4" s="1"/>
    </row>
    <row r="5" spans="1:7" ht="54.75" customHeight="1" x14ac:dyDescent="0.35">
      <c r="A5" s="1"/>
      <c r="B5" s="1"/>
      <c r="C5" s="1"/>
      <c r="D5" s="1"/>
      <c r="E5" s="1"/>
      <c r="F5" s="1"/>
    </row>
    <row r="6" spans="1:7" ht="15" customHeight="1" x14ac:dyDescent="0.35">
      <c r="A6" s="1"/>
      <c r="B6" s="1"/>
      <c r="C6" s="1"/>
      <c r="D6" s="1"/>
      <c r="E6" s="1"/>
      <c r="F6" s="1"/>
    </row>
    <row r="7" spans="1:7" ht="15" customHeight="1" x14ac:dyDescent="0.35">
      <c r="A7" s="1"/>
      <c r="B7" s="1"/>
      <c r="C7" s="1"/>
      <c r="D7" s="1"/>
      <c r="E7" s="1"/>
      <c r="F7" s="1"/>
    </row>
    <row r="8" spans="1:7" ht="15" customHeight="1" x14ac:dyDescent="0.35">
      <c r="A8" s="1"/>
      <c r="B8" s="1"/>
      <c r="C8" s="1"/>
      <c r="D8" s="1"/>
      <c r="E8" s="1"/>
      <c r="F8" s="1"/>
    </row>
    <row r="10" spans="1:7" ht="15" customHeight="1" x14ac:dyDescent="0.35">
      <c r="A10" s="11" t="s">
        <v>78</v>
      </c>
    </row>
    <row r="11" spans="1:7" ht="90.75" customHeight="1" x14ac:dyDescent="0.35">
      <c r="A11" s="22" t="s">
        <v>79</v>
      </c>
      <c r="B11" s="22" t="s">
        <v>80</v>
      </c>
      <c r="C11" s="22" t="s">
        <v>81</v>
      </c>
      <c r="D11" s="22" t="s">
        <v>82</v>
      </c>
      <c r="E11" s="22" t="s">
        <v>83</v>
      </c>
      <c r="F11" s="22" t="s">
        <v>84</v>
      </c>
      <c r="G11" s="22" t="s">
        <v>85</v>
      </c>
    </row>
    <row r="12" spans="1:7" ht="15" customHeight="1" x14ac:dyDescent="0.35">
      <c r="A12" s="4" t="s">
        <v>86</v>
      </c>
      <c r="B12" s="4" t="s">
        <v>87</v>
      </c>
      <c r="C12" s="8">
        <v>30</v>
      </c>
      <c r="D12" s="8">
        <f>COUNTIF(D19:D48,"Yes")</f>
        <v>30</v>
      </c>
      <c r="E12" s="23">
        <f>D12/C12</f>
        <v>1</v>
      </c>
      <c r="F12" s="8" t="str">
        <f>IF(E12=1,"Strong",IF(E12&gt;=0.5,"Partial",IF(E12&gt;0,"Omitted","Not Disclosed")))</f>
        <v>Strong</v>
      </c>
      <c r="G12" s="8" t="s">
        <v>88</v>
      </c>
    </row>
    <row r="13" spans="1:7" ht="15" customHeight="1" x14ac:dyDescent="0.35">
      <c r="A13" s="4" t="s">
        <v>89</v>
      </c>
      <c r="B13" s="4" t="s">
        <v>90</v>
      </c>
      <c r="C13" s="8">
        <v>3</v>
      </c>
      <c r="D13" s="8">
        <f>COUNTIF(D51:D53,"Yes")</f>
        <v>3</v>
      </c>
      <c r="E13" s="23">
        <f>D13/C13</f>
        <v>1</v>
      </c>
      <c r="F13" s="8" t="str">
        <f>IF(E13=1,"Strong",IF(E13&gt;=0.5,"Partial",IF(E13&gt;0,"Omitted","Not Disclosed")))</f>
        <v>Strong</v>
      </c>
      <c r="G13" s="8" t="s">
        <v>91</v>
      </c>
    </row>
    <row r="14" spans="1:7" ht="15" customHeight="1" x14ac:dyDescent="0.35">
      <c r="A14" s="4" t="s">
        <v>92</v>
      </c>
      <c r="B14" s="4" t="s">
        <v>93</v>
      </c>
      <c r="C14" s="8">
        <v>7</v>
      </c>
      <c r="D14" s="8">
        <f>COUNTIF(D56:D62,"Yes")</f>
        <v>7</v>
      </c>
      <c r="E14" s="23">
        <f>D14/C14</f>
        <v>1</v>
      </c>
      <c r="F14" s="8" t="str">
        <f>IF(E14=1,"Strong",IF(E14&gt;=0.5,"Partial",IF(E14&gt;0,"Omitted","Not Disclosed")))</f>
        <v>Strong</v>
      </c>
      <c r="G14" s="8" t="s">
        <v>94</v>
      </c>
    </row>
    <row r="15" spans="1:7" ht="15" customHeight="1" x14ac:dyDescent="0.35">
      <c r="A15" s="4" t="s">
        <v>95</v>
      </c>
      <c r="B15" s="4" t="s">
        <v>96</v>
      </c>
      <c r="C15" s="8">
        <v>5</v>
      </c>
      <c r="D15" s="8">
        <f>COUNTIF(D65:D69,"Yes")</f>
        <v>5</v>
      </c>
      <c r="E15" s="23">
        <f>D15/C15</f>
        <v>1</v>
      </c>
      <c r="F15" s="8" t="str">
        <f>IF(E15=1,"Strong",IF(E15&gt;=0.5,"Partial",IF(E15&gt;0,"Omitted","Not Disclosed")))</f>
        <v>Strong</v>
      </c>
      <c r="G15" s="8" t="s">
        <v>97</v>
      </c>
    </row>
    <row r="16" spans="1:7" ht="15" customHeight="1" x14ac:dyDescent="0.35">
      <c r="A16" s="4" t="s">
        <v>98</v>
      </c>
      <c r="B16" s="4" t="s">
        <v>99</v>
      </c>
      <c r="C16" s="8">
        <v>10</v>
      </c>
      <c r="D16" s="8">
        <f>COUNTIF(D72:D81,"Yes")</f>
        <v>10</v>
      </c>
      <c r="E16" s="23">
        <f>D16/C16</f>
        <v>1</v>
      </c>
      <c r="F16" s="8" t="str">
        <f>IF(E16=1,"Strong",IF(E16&gt;=0.5,"Partial",IF(E16&gt;0,"Omitted","Not Disclosed")))</f>
        <v>Strong</v>
      </c>
      <c r="G16" s="8" t="s">
        <v>100</v>
      </c>
    </row>
    <row r="18" spans="1:5" ht="15" customHeight="1" x14ac:dyDescent="0.35">
      <c r="A18" s="28" t="s">
        <v>101</v>
      </c>
      <c r="B18" s="29"/>
      <c r="C18" s="29"/>
      <c r="D18" s="29"/>
      <c r="E18" s="30"/>
    </row>
    <row r="19" spans="1:5" ht="15" customHeight="1" x14ac:dyDescent="0.35">
      <c r="A19" s="8" t="s">
        <v>102</v>
      </c>
      <c r="B19" s="4" t="s">
        <v>103</v>
      </c>
      <c r="C19" s="4"/>
      <c r="D19" s="8" t="s">
        <v>104</v>
      </c>
      <c r="E19" s="8" t="s">
        <v>105</v>
      </c>
    </row>
    <row r="20" spans="1:5" ht="15" customHeight="1" x14ac:dyDescent="0.35">
      <c r="A20" s="8" t="s">
        <v>106</v>
      </c>
      <c r="B20" s="4" t="s">
        <v>107</v>
      </c>
      <c r="C20" s="4"/>
      <c r="D20" s="8" t="s">
        <v>104</v>
      </c>
      <c r="E20" s="8" t="s">
        <v>105</v>
      </c>
    </row>
    <row r="21" spans="1:5" ht="15" customHeight="1" x14ac:dyDescent="0.35">
      <c r="A21" s="8" t="s">
        <v>108</v>
      </c>
      <c r="B21" s="4" t="s">
        <v>109</v>
      </c>
      <c r="C21" s="4"/>
      <c r="D21" s="8" t="s">
        <v>104</v>
      </c>
      <c r="E21" s="8" t="s">
        <v>105</v>
      </c>
    </row>
    <row r="22" spans="1:5" ht="15" customHeight="1" x14ac:dyDescent="0.35">
      <c r="A22" s="8" t="s">
        <v>110</v>
      </c>
      <c r="B22" s="4" t="s">
        <v>111</v>
      </c>
      <c r="C22" s="4"/>
      <c r="D22" s="8" t="s">
        <v>104</v>
      </c>
      <c r="E22" s="8" t="s">
        <v>112</v>
      </c>
    </row>
    <row r="23" spans="1:5" ht="15" customHeight="1" x14ac:dyDescent="0.35">
      <c r="A23" s="8" t="s">
        <v>113</v>
      </c>
      <c r="B23" s="4" t="s">
        <v>114</v>
      </c>
      <c r="C23" s="4"/>
      <c r="D23" s="8" t="s">
        <v>104</v>
      </c>
      <c r="E23" s="8" t="s">
        <v>105</v>
      </c>
    </row>
    <row r="24" spans="1:5" ht="15" customHeight="1" x14ac:dyDescent="0.35">
      <c r="A24" s="8" t="s">
        <v>115</v>
      </c>
      <c r="B24" s="4" t="s">
        <v>116</v>
      </c>
      <c r="C24" s="4"/>
      <c r="D24" s="8" t="s">
        <v>104</v>
      </c>
      <c r="E24" s="8" t="s">
        <v>112</v>
      </c>
    </row>
    <row r="25" spans="1:5" ht="15" customHeight="1" x14ac:dyDescent="0.35">
      <c r="A25" s="8" t="s">
        <v>117</v>
      </c>
      <c r="B25" s="4" t="s">
        <v>118</v>
      </c>
      <c r="C25" s="4"/>
      <c r="D25" s="8" t="s">
        <v>104</v>
      </c>
      <c r="E25" s="8" t="s">
        <v>112</v>
      </c>
    </row>
    <row r="26" spans="1:5" ht="15" customHeight="1" x14ac:dyDescent="0.35">
      <c r="A26" s="8" t="s">
        <v>119</v>
      </c>
      <c r="B26" s="4" t="s">
        <v>120</v>
      </c>
      <c r="C26" s="4"/>
      <c r="D26" s="8" t="s">
        <v>104</v>
      </c>
      <c r="E26" s="8" t="s">
        <v>112</v>
      </c>
    </row>
    <row r="27" spans="1:5" ht="15" customHeight="1" x14ac:dyDescent="0.35">
      <c r="A27" s="8" t="s">
        <v>121</v>
      </c>
      <c r="B27" s="4" t="s">
        <v>122</v>
      </c>
      <c r="C27" s="4"/>
      <c r="D27" s="8" t="s">
        <v>104</v>
      </c>
      <c r="E27" s="8" t="s">
        <v>123</v>
      </c>
    </row>
    <row r="28" spans="1:5" ht="15" customHeight="1" x14ac:dyDescent="0.35">
      <c r="A28" s="8" t="s">
        <v>124</v>
      </c>
      <c r="B28" s="4" t="s">
        <v>125</v>
      </c>
      <c r="C28" s="4"/>
      <c r="D28" s="8" t="s">
        <v>104</v>
      </c>
      <c r="E28" s="8" t="s">
        <v>126</v>
      </c>
    </row>
    <row r="29" spans="1:5" ht="15" customHeight="1" x14ac:dyDescent="0.35">
      <c r="A29" s="8" t="s">
        <v>127</v>
      </c>
      <c r="B29" s="4" t="s">
        <v>128</v>
      </c>
      <c r="C29" s="4"/>
      <c r="D29" s="8" t="s">
        <v>104</v>
      </c>
      <c r="E29" s="8" t="s">
        <v>126</v>
      </c>
    </row>
    <row r="30" spans="1:5" ht="23.25" customHeight="1" x14ac:dyDescent="0.35">
      <c r="A30" s="8" t="s">
        <v>129</v>
      </c>
      <c r="B30" s="4" t="s">
        <v>130</v>
      </c>
      <c r="C30" s="4"/>
      <c r="D30" s="8" t="s">
        <v>104</v>
      </c>
      <c r="E30" s="8" t="s">
        <v>126</v>
      </c>
    </row>
    <row r="31" spans="1:5" ht="15" customHeight="1" x14ac:dyDescent="0.35">
      <c r="A31" s="8" t="s">
        <v>131</v>
      </c>
      <c r="B31" s="4" t="s">
        <v>132</v>
      </c>
      <c r="C31" s="4"/>
      <c r="D31" s="8" t="s">
        <v>104</v>
      </c>
      <c r="E31" s="8" t="s">
        <v>133</v>
      </c>
    </row>
    <row r="32" spans="1:5" ht="15" customHeight="1" x14ac:dyDescent="0.35">
      <c r="A32" s="8" t="s">
        <v>134</v>
      </c>
      <c r="B32" s="4" t="s">
        <v>135</v>
      </c>
      <c r="C32" s="4"/>
      <c r="D32" s="8" t="s">
        <v>104</v>
      </c>
      <c r="E32" s="8" t="s">
        <v>136</v>
      </c>
    </row>
    <row r="33" spans="1:5" ht="15" customHeight="1" x14ac:dyDescent="0.35">
      <c r="A33" s="8" t="s">
        <v>137</v>
      </c>
      <c r="B33" s="4" t="s">
        <v>138</v>
      </c>
      <c r="C33" s="4"/>
      <c r="D33" s="8" t="s">
        <v>104</v>
      </c>
      <c r="E33" s="8" t="s">
        <v>112</v>
      </c>
    </row>
    <row r="34" spans="1:5" ht="15" customHeight="1" x14ac:dyDescent="0.35">
      <c r="A34" s="8" t="s">
        <v>139</v>
      </c>
      <c r="B34" s="4" t="s">
        <v>140</v>
      </c>
      <c r="C34" s="4"/>
      <c r="D34" s="8" t="s">
        <v>104</v>
      </c>
      <c r="E34" s="8" t="s">
        <v>141</v>
      </c>
    </row>
    <row r="35" spans="1:5" ht="15" customHeight="1" x14ac:dyDescent="0.35">
      <c r="A35" s="8" t="s">
        <v>142</v>
      </c>
      <c r="B35" s="4" t="s">
        <v>143</v>
      </c>
      <c r="C35" s="4"/>
      <c r="D35" s="8" t="s">
        <v>104</v>
      </c>
      <c r="E35" s="8" t="s">
        <v>112</v>
      </c>
    </row>
    <row r="36" spans="1:5" ht="15" customHeight="1" x14ac:dyDescent="0.35">
      <c r="A36" s="8" t="s">
        <v>144</v>
      </c>
      <c r="B36" s="4" t="s">
        <v>145</v>
      </c>
      <c r="C36" s="4"/>
      <c r="D36" s="8" t="s">
        <v>104</v>
      </c>
      <c r="E36" s="8" t="s">
        <v>141</v>
      </c>
    </row>
    <row r="37" spans="1:5" ht="15" customHeight="1" x14ac:dyDescent="0.35">
      <c r="A37" s="8" t="s">
        <v>146</v>
      </c>
      <c r="B37" s="4" t="s">
        <v>147</v>
      </c>
      <c r="C37" s="4"/>
      <c r="D37" s="8" t="s">
        <v>104</v>
      </c>
      <c r="E37" s="8" t="s">
        <v>148</v>
      </c>
    </row>
    <row r="38" spans="1:5" ht="15" customHeight="1" x14ac:dyDescent="0.35">
      <c r="A38" s="8" t="s">
        <v>149</v>
      </c>
      <c r="B38" s="4" t="s">
        <v>150</v>
      </c>
      <c r="C38" s="4"/>
      <c r="D38" s="8" t="s">
        <v>104</v>
      </c>
      <c r="E38" s="8" t="s">
        <v>112</v>
      </c>
    </row>
    <row r="39" spans="1:5" ht="15" customHeight="1" x14ac:dyDescent="0.35">
      <c r="A39" s="8" t="s">
        <v>151</v>
      </c>
      <c r="B39" s="4" t="s">
        <v>152</v>
      </c>
      <c r="C39" s="4"/>
      <c r="D39" s="8" t="s">
        <v>104</v>
      </c>
      <c r="E39" s="8" t="s">
        <v>91</v>
      </c>
    </row>
    <row r="40" spans="1:5" ht="15" customHeight="1" x14ac:dyDescent="0.35">
      <c r="A40" s="8" t="s">
        <v>153</v>
      </c>
      <c r="B40" s="4" t="s">
        <v>154</v>
      </c>
      <c r="C40" s="4"/>
      <c r="D40" s="8" t="s">
        <v>104</v>
      </c>
      <c r="E40" s="8" t="s">
        <v>155</v>
      </c>
    </row>
    <row r="41" spans="1:5" ht="15" customHeight="1" x14ac:dyDescent="0.35">
      <c r="A41" s="8" t="s">
        <v>156</v>
      </c>
      <c r="B41" s="4" t="s">
        <v>157</v>
      </c>
      <c r="C41" s="4"/>
      <c r="D41" s="8" t="s">
        <v>104</v>
      </c>
      <c r="E41" s="8" t="s">
        <v>158</v>
      </c>
    </row>
    <row r="42" spans="1:5" ht="15" customHeight="1" x14ac:dyDescent="0.35">
      <c r="A42" s="8" t="s">
        <v>159</v>
      </c>
      <c r="B42" s="4" t="s">
        <v>160</v>
      </c>
      <c r="C42" s="4"/>
      <c r="D42" s="8" t="s">
        <v>104</v>
      </c>
      <c r="E42" s="8" t="s">
        <v>161</v>
      </c>
    </row>
    <row r="43" spans="1:5" ht="15" customHeight="1" x14ac:dyDescent="0.35">
      <c r="A43" s="8" t="s">
        <v>162</v>
      </c>
      <c r="B43" s="4" t="s">
        <v>163</v>
      </c>
      <c r="C43" s="4"/>
      <c r="D43" s="8" t="s">
        <v>104</v>
      </c>
      <c r="E43" s="8" t="s">
        <v>161</v>
      </c>
    </row>
    <row r="44" spans="1:5" ht="15" customHeight="1" x14ac:dyDescent="0.35">
      <c r="A44" s="8" t="s">
        <v>164</v>
      </c>
      <c r="B44" s="4" t="s">
        <v>165</v>
      </c>
      <c r="C44" s="4"/>
      <c r="D44" s="8" t="s">
        <v>104</v>
      </c>
      <c r="E44" s="8" t="s">
        <v>166</v>
      </c>
    </row>
    <row r="45" spans="1:5" ht="15" customHeight="1" x14ac:dyDescent="0.35">
      <c r="A45" s="8" t="s">
        <v>167</v>
      </c>
      <c r="B45" s="4" t="s">
        <v>168</v>
      </c>
      <c r="C45" s="4"/>
      <c r="D45" s="8" t="s">
        <v>104</v>
      </c>
      <c r="E45" s="8" t="s">
        <v>91</v>
      </c>
    </row>
    <row r="46" spans="1:5" ht="15" customHeight="1" x14ac:dyDescent="0.35">
      <c r="A46" s="8" t="s">
        <v>169</v>
      </c>
      <c r="B46" s="4" t="s">
        <v>170</v>
      </c>
      <c r="C46" s="4"/>
      <c r="D46" s="8" t="s">
        <v>104</v>
      </c>
      <c r="E46" s="8" t="s">
        <v>161</v>
      </c>
    </row>
    <row r="47" spans="1:5" ht="15" customHeight="1" x14ac:dyDescent="0.35">
      <c r="A47" s="8" t="s">
        <v>171</v>
      </c>
      <c r="B47" s="4" t="s">
        <v>172</v>
      </c>
      <c r="C47" s="4"/>
      <c r="D47" s="8" t="s">
        <v>104</v>
      </c>
      <c r="E47" s="8" t="s">
        <v>173</v>
      </c>
    </row>
    <row r="48" spans="1:5" ht="15" customHeight="1" x14ac:dyDescent="0.35">
      <c r="A48" s="8" t="s">
        <v>174</v>
      </c>
      <c r="B48" s="4" t="s">
        <v>175</v>
      </c>
      <c r="C48" s="4"/>
      <c r="D48" s="8" t="s">
        <v>104</v>
      </c>
      <c r="E48" s="8" t="s">
        <v>91</v>
      </c>
    </row>
    <row r="50" spans="1:5" ht="15" customHeight="1" x14ac:dyDescent="0.35">
      <c r="A50" s="28" t="s">
        <v>176</v>
      </c>
      <c r="B50" s="29"/>
      <c r="C50" s="29"/>
      <c r="D50" s="29"/>
      <c r="E50" s="30"/>
    </row>
    <row r="51" spans="1:5" ht="15" customHeight="1" x14ac:dyDescent="0.35">
      <c r="A51" s="8" t="s">
        <v>177</v>
      </c>
      <c r="B51" s="4" t="s">
        <v>178</v>
      </c>
      <c r="C51" s="4"/>
      <c r="D51" s="8" t="s">
        <v>104</v>
      </c>
      <c r="E51" s="8" t="s">
        <v>179</v>
      </c>
    </row>
    <row r="52" spans="1:5" ht="15" customHeight="1" x14ac:dyDescent="0.35">
      <c r="A52" s="8" t="s">
        <v>180</v>
      </c>
      <c r="B52" s="4" t="s">
        <v>181</v>
      </c>
      <c r="C52" s="4"/>
      <c r="D52" s="8" t="s">
        <v>104</v>
      </c>
      <c r="E52" s="8" t="s">
        <v>182</v>
      </c>
    </row>
    <row r="53" spans="1:5" ht="15" customHeight="1" x14ac:dyDescent="0.35">
      <c r="A53" s="8" t="s">
        <v>183</v>
      </c>
      <c r="B53" s="4" t="s">
        <v>184</v>
      </c>
      <c r="C53" s="4"/>
      <c r="D53" s="8" t="s">
        <v>104</v>
      </c>
      <c r="E53" s="8" t="s">
        <v>185</v>
      </c>
    </row>
    <row r="55" spans="1:5" ht="15" customHeight="1" x14ac:dyDescent="0.35">
      <c r="A55" s="28" t="s">
        <v>186</v>
      </c>
      <c r="B55" s="29"/>
      <c r="C55" s="29"/>
      <c r="D55" s="29"/>
      <c r="E55" s="30"/>
    </row>
    <row r="56" spans="1:5" ht="15" customHeight="1" x14ac:dyDescent="0.35">
      <c r="A56" s="8" t="s">
        <v>187</v>
      </c>
      <c r="B56" s="4" t="s">
        <v>188</v>
      </c>
      <c r="C56" s="4"/>
      <c r="D56" s="8" t="s">
        <v>104</v>
      </c>
      <c r="E56" s="8" t="s">
        <v>189</v>
      </c>
    </row>
    <row r="57" spans="1:5" ht="15" customHeight="1" x14ac:dyDescent="0.35">
      <c r="A57" s="8" t="s">
        <v>190</v>
      </c>
      <c r="B57" s="4" t="s">
        <v>191</v>
      </c>
      <c r="C57" s="4"/>
      <c r="D57" s="8" t="s">
        <v>104</v>
      </c>
      <c r="E57" s="8" t="s">
        <v>189</v>
      </c>
    </row>
    <row r="58" spans="1:5" ht="15" customHeight="1" x14ac:dyDescent="0.35">
      <c r="A58" s="8" t="s">
        <v>192</v>
      </c>
      <c r="B58" s="4" t="s">
        <v>193</v>
      </c>
      <c r="C58" s="4"/>
      <c r="D58" s="8" t="s">
        <v>104</v>
      </c>
      <c r="E58" s="8" t="s">
        <v>189</v>
      </c>
    </row>
    <row r="59" spans="1:5" ht="15" customHeight="1" x14ac:dyDescent="0.35">
      <c r="A59" s="8" t="s">
        <v>194</v>
      </c>
      <c r="B59" s="4" t="s">
        <v>195</v>
      </c>
      <c r="C59" s="4"/>
      <c r="D59" s="8" t="s">
        <v>104</v>
      </c>
      <c r="E59" s="8" t="s">
        <v>196</v>
      </c>
    </row>
    <row r="60" spans="1:5" ht="15" customHeight="1" x14ac:dyDescent="0.35">
      <c r="A60" s="8" t="s">
        <v>197</v>
      </c>
      <c r="B60" s="4" t="s">
        <v>198</v>
      </c>
      <c r="C60" s="4"/>
      <c r="D60" s="8" t="s">
        <v>104</v>
      </c>
      <c r="E60" s="8" t="s">
        <v>199</v>
      </c>
    </row>
    <row r="61" spans="1:5" ht="15" customHeight="1" x14ac:dyDescent="0.35">
      <c r="A61" s="8" t="s">
        <v>200</v>
      </c>
      <c r="B61" s="4" t="s">
        <v>201</v>
      </c>
      <c r="C61" s="4"/>
      <c r="D61" s="8" t="s">
        <v>104</v>
      </c>
      <c r="E61" s="8" t="s">
        <v>196</v>
      </c>
    </row>
    <row r="62" spans="1:5" ht="15" customHeight="1" x14ac:dyDescent="0.35">
      <c r="A62" s="8" t="s">
        <v>202</v>
      </c>
      <c r="B62" s="4" t="s">
        <v>203</v>
      </c>
      <c r="C62" s="4"/>
      <c r="D62" s="8" t="s">
        <v>104</v>
      </c>
      <c r="E62" s="8" t="s">
        <v>204</v>
      </c>
    </row>
    <row r="64" spans="1:5" ht="15" customHeight="1" x14ac:dyDescent="0.35">
      <c r="A64" s="28" t="s">
        <v>205</v>
      </c>
      <c r="B64" s="29"/>
      <c r="C64" s="29"/>
      <c r="D64" s="29"/>
      <c r="E64" s="30"/>
    </row>
    <row r="65" spans="1:5" ht="15" customHeight="1" x14ac:dyDescent="0.35">
      <c r="A65" s="8" t="s">
        <v>206</v>
      </c>
      <c r="B65" s="4" t="s">
        <v>207</v>
      </c>
      <c r="C65" s="4"/>
      <c r="D65" s="8" t="s">
        <v>104</v>
      </c>
      <c r="E65" s="8" t="s">
        <v>208</v>
      </c>
    </row>
    <row r="66" spans="1:5" ht="15" customHeight="1" x14ac:dyDescent="0.35">
      <c r="A66" s="8" t="s">
        <v>209</v>
      </c>
      <c r="B66" s="4" t="s">
        <v>210</v>
      </c>
      <c r="C66" s="4"/>
      <c r="D66" s="8" t="s">
        <v>104</v>
      </c>
      <c r="E66" s="8" t="s">
        <v>211</v>
      </c>
    </row>
    <row r="67" spans="1:5" ht="15" customHeight="1" x14ac:dyDescent="0.35">
      <c r="A67" s="8" t="s">
        <v>212</v>
      </c>
      <c r="B67" s="4" t="s">
        <v>213</v>
      </c>
      <c r="C67" s="4"/>
      <c r="D67" s="8" t="s">
        <v>104</v>
      </c>
      <c r="E67" s="8" t="s">
        <v>214</v>
      </c>
    </row>
    <row r="68" spans="1:5" ht="15" customHeight="1" x14ac:dyDescent="0.35">
      <c r="A68" s="8" t="s">
        <v>215</v>
      </c>
      <c r="B68" s="4" t="s">
        <v>216</v>
      </c>
      <c r="C68" s="4"/>
      <c r="D68" s="8" t="s">
        <v>104</v>
      </c>
      <c r="E68" s="8" t="s">
        <v>97</v>
      </c>
    </row>
    <row r="69" spans="1:5" ht="15" customHeight="1" x14ac:dyDescent="0.35">
      <c r="A69" s="8" t="s">
        <v>217</v>
      </c>
      <c r="B69" s="4" t="s">
        <v>49</v>
      </c>
      <c r="C69" s="4"/>
      <c r="D69" s="8" t="s">
        <v>104</v>
      </c>
      <c r="E69" s="8" t="s">
        <v>214</v>
      </c>
    </row>
    <row r="71" spans="1:5" ht="15" customHeight="1" x14ac:dyDescent="0.35">
      <c r="A71" s="28" t="s">
        <v>218</v>
      </c>
      <c r="B71" s="29"/>
      <c r="C71" s="29"/>
      <c r="D71" s="29"/>
      <c r="E71" s="30"/>
    </row>
    <row r="72" spans="1:5" ht="15" customHeight="1" x14ac:dyDescent="0.35">
      <c r="A72" s="8" t="s">
        <v>219</v>
      </c>
      <c r="B72" s="4" t="s">
        <v>220</v>
      </c>
      <c r="C72" s="4"/>
      <c r="D72" s="8" t="s">
        <v>104</v>
      </c>
      <c r="E72" s="8" t="s">
        <v>221</v>
      </c>
    </row>
    <row r="73" spans="1:5" ht="15" customHeight="1" x14ac:dyDescent="0.35">
      <c r="A73" s="8" t="s">
        <v>222</v>
      </c>
      <c r="B73" s="4" t="s">
        <v>223</v>
      </c>
      <c r="C73" s="4"/>
      <c r="D73" s="8" t="s">
        <v>104</v>
      </c>
      <c r="E73" s="8" t="s">
        <v>204</v>
      </c>
    </row>
    <row r="74" spans="1:5" ht="15" customHeight="1" x14ac:dyDescent="0.35">
      <c r="A74" s="8" t="s">
        <v>224</v>
      </c>
      <c r="B74" s="4" t="s">
        <v>225</v>
      </c>
      <c r="C74" s="4"/>
      <c r="D74" s="8" t="s">
        <v>104</v>
      </c>
      <c r="E74" s="8" t="s">
        <v>226</v>
      </c>
    </row>
    <row r="75" spans="1:5" ht="15" customHeight="1" x14ac:dyDescent="0.35">
      <c r="A75" s="8" t="s">
        <v>227</v>
      </c>
      <c r="B75" s="4" t="s">
        <v>228</v>
      </c>
      <c r="C75" s="4"/>
      <c r="D75" s="8" t="s">
        <v>104</v>
      </c>
      <c r="E75" s="8" t="s">
        <v>204</v>
      </c>
    </row>
    <row r="76" spans="1:5" ht="15" customHeight="1" x14ac:dyDescent="0.35">
      <c r="A76" s="8" t="s">
        <v>229</v>
      </c>
      <c r="B76" s="4" t="s">
        <v>230</v>
      </c>
      <c r="C76" s="4"/>
      <c r="D76" s="8" t="s">
        <v>104</v>
      </c>
      <c r="E76" s="8" t="s">
        <v>231</v>
      </c>
    </row>
    <row r="77" spans="1:5" ht="15" customHeight="1" x14ac:dyDescent="0.35">
      <c r="A77" s="8" t="s">
        <v>232</v>
      </c>
      <c r="B77" s="4" t="s">
        <v>233</v>
      </c>
      <c r="C77" s="4"/>
      <c r="D77" s="8" t="s">
        <v>104</v>
      </c>
      <c r="E77" s="8" t="s">
        <v>204</v>
      </c>
    </row>
    <row r="78" spans="1:5" ht="23.25" customHeight="1" x14ac:dyDescent="0.35">
      <c r="A78" s="8" t="s">
        <v>234</v>
      </c>
      <c r="B78" s="4" t="s">
        <v>235</v>
      </c>
      <c r="C78" s="4"/>
      <c r="D78" s="8" t="s">
        <v>104</v>
      </c>
      <c r="E78" s="8" t="s">
        <v>236</v>
      </c>
    </row>
    <row r="79" spans="1:5" ht="15" customHeight="1" x14ac:dyDescent="0.35">
      <c r="A79" s="8" t="s">
        <v>237</v>
      </c>
      <c r="B79" s="4" t="s">
        <v>238</v>
      </c>
      <c r="C79" s="4"/>
      <c r="D79" s="8" t="s">
        <v>104</v>
      </c>
      <c r="E79" s="8" t="s">
        <v>236</v>
      </c>
    </row>
    <row r="80" spans="1:5" x14ac:dyDescent="0.35">
      <c r="A80" s="8" t="s">
        <v>239</v>
      </c>
      <c r="B80" s="4" t="s">
        <v>240</v>
      </c>
      <c r="C80" s="4"/>
      <c r="D80" s="8" t="s">
        <v>104</v>
      </c>
      <c r="E80" s="8" t="s">
        <v>241</v>
      </c>
    </row>
    <row r="81" spans="1:7" x14ac:dyDescent="0.35">
      <c r="A81" s="8" t="s">
        <v>242</v>
      </c>
      <c r="B81" s="4" t="s">
        <v>243</v>
      </c>
      <c r="C81" s="24"/>
      <c r="D81" s="8" t="s">
        <v>104</v>
      </c>
      <c r="E81" s="8" t="s">
        <v>236</v>
      </c>
    </row>
    <row r="84" spans="1:7" ht="15" customHeight="1" x14ac:dyDescent="0.35">
      <c r="A84" s="28" t="s">
        <v>244</v>
      </c>
      <c r="B84" s="29"/>
      <c r="C84" s="30"/>
      <c r="D84" s="23">
        <f>SUM(D12:D16)/SUM(C12:C16)</f>
        <v>1</v>
      </c>
      <c r="E84" s="8" t="s">
        <v>245</v>
      </c>
    </row>
    <row r="86" spans="1:7" ht="15" customHeight="1" x14ac:dyDescent="0.35">
      <c r="A86" s="11"/>
    </row>
    <row r="87" spans="1:7" ht="64.5" customHeight="1" x14ac:dyDescent="0.35">
      <c r="A87" s="31"/>
      <c r="B87" s="31"/>
      <c r="C87" s="31"/>
      <c r="D87" s="31"/>
      <c r="E87" s="31"/>
      <c r="F87" s="31"/>
    </row>
    <row r="90" spans="1:7" x14ac:dyDescent="0.35">
      <c r="A90" s="11"/>
    </row>
    <row r="91" spans="1:7" ht="45" customHeight="1" x14ac:dyDescent="0.35">
      <c r="A91" s="27"/>
      <c r="B91" s="27"/>
      <c r="C91" s="27"/>
      <c r="D91" s="27"/>
      <c r="E91" s="27"/>
      <c r="F91" s="27"/>
      <c r="G91" s="27"/>
    </row>
  </sheetData>
  <mergeCells count="8">
    <mergeCell ref="A18:E18"/>
    <mergeCell ref="A50:E50"/>
    <mergeCell ref="A55:E55"/>
    <mergeCell ref="A91:G91"/>
    <mergeCell ref="A64:E64"/>
    <mergeCell ref="A71:E71"/>
    <mergeCell ref="A84:C84"/>
    <mergeCell ref="A87:F8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Data</vt:lpstr>
      <vt:lpstr>Completeness</vt:lpstr>
      <vt:lpstr>Intensity Ratios</vt:lpstr>
      <vt:lpstr>GRI 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Yug Bhogi</cp:lastModifiedBy>
  <cp:revision>0</cp:revision>
  <dcterms:created xsi:type="dcterms:W3CDTF">2026-08-25T20:03:36Z</dcterms:created>
  <dcterms:modified xsi:type="dcterms:W3CDTF">2026-08-27T16:21:40Z</dcterms:modified>
  <dc:language>en-US</dc:language>
</cp:coreProperties>
</file>